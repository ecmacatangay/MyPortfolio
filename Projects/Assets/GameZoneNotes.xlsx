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b47560d3a85cf67c/Desktop/GameZone/GameZone_02/"/>
    </mc:Choice>
  </mc:AlternateContent>
  <xr:revisionPtr revIDLastSave="30" documentId="8_{1D947994-E9D7-4EE5-9559-F272A8B3A286}" xr6:coauthVersionLast="47" xr6:coauthVersionMax="47" xr10:uidLastSave="{8668F1AE-89C5-4AC0-8982-244702863596}"/>
  <bookViews>
    <workbookView xWindow="22932" yWindow="-132" windowWidth="23256" windowHeight="12456" activeTab="1" xr2:uid="{C3CB9605-5761-4391-94EE-35E821620701}"/>
  </bookViews>
  <sheets>
    <sheet name="issues_logs" sheetId="1" r:id="rId1"/>
    <sheet name="insights_log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9" i="1"/>
  <c r="G8" i="1"/>
  <c r="G7" i="1"/>
  <c r="G6" i="1"/>
  <c r="G4" i="1"/>
</calcChain>
</file>

<file path=xl/sharedStrings.xml><?xml version="1.0" encoding="utf-8"?>
<sst xmlns="http://schemas.openxmlformats.org/spreadsheetml/2006/main" count="85" uniqueCount="73">
  <si>
    <t>CLEAN FRAMEWORK</t>
  </si>
  <si>
    <t>Conceptualize, Locate Issue, Evaluate Augment, Note &amp; Document</t>
  </si>
  <si>
    <t>Table</t>
  </si>
  <si>
    <t>Column</t>
  </si>
  <si>
    <t>Issue</t>
  </si>
  <si>
    <t>Count</t>
  </si>
  <si>
    <t>Solvable</t>
  </si>
  <si>
    <t>Fix / Recommendation</t>
  </si>
  <si>
    <t>Notes:</t>
  </si>
  <si>
    <t>Gamezone orders data count</t>
  </si>
  <si>
    <t>orders</t>
  </si>
  <si>
    <t>Purchase_TS</t>
  </si>
  <si>
    <t>Blank, Inconsistent Date Format</t>
  </si>
  <si>
    <t>Y</t>
  </si>
  <si>
    <t>Follow DD/MM/YY format</t>
  </si>
  <si>
    <t>Refund_TS</t>
  </si>
  <si>
    <t>N</t>
  </si>
  <si>
    <t>Product_name</t>
  </si>
  <si>
    <t>27inches 4k gaming monitor</t>
  </si>
  <si>
    <t>Update to '27in 4K gaming monitor'</t>
  </si>
  <si>
    <t>Magnitude</t>
  </si>
  <si>
    <t>USD_price</t>
  </si>
  <si>
    <t>blanks</t>
  </si>
  <si>
    <t>marketing_channel | Account Creation Method</t>
  </si>
  <si>
    <t>Update to 'Unknown'</t>
  </si>
  <si>
    <t>Country_Code</t>
  </si>
  <si>
    <t>region</t>
  </si>
  <si>
    <t>REGION</t>
  </si>
  <si>
    <t>Blanks &amp; X.x</t>
  </si>
  <si>
    <t>IE = APAC, LB = EMEA, MH = APAC, PG =APAC</t>
  </si>
  <si>
    <t>SCAN FRAMEWORK</t>
  </si>
  <si>
    <t>Stake Holder Goal</t>
  </si>
  <si>
    <t>Columns &amp; Coverage</t>
  </si>
  <si>
    <t>Product,USD_Price, Purchase Platform, Marketing Channel, Country Code</t>
  </si>
  <si>
    <t>Aggregates &amp; Anomalies</t>
  </si>
  <si>
    <t xml:space="preserve">Check for USD, Sales, Country with High and Low Performance </t>
  </si>
  <si>
    <t>Stake Holder Goal, Columns &amp; Coverage, Aggregates &amp; Anomalies, Notable Dimension</t>
  </si>
  <si>
    <t>Notable Dimension</t>
  </si>
  <si>
    <t>Purchase Platform, Marketing Channel, Country Code</t>
  </si>
  <si>
    <t>Determine the Overall Trend or Hgih Level Trend through out the year</t>
  </si>
  <si>
    <t>Findings</t>
  </si>
  <si>
    <t>Metric/Dimension</t>
  </si>
  <si>
    <t>pivot_Table01</t>
  </si>
  <si>
    <t>USD/Overall Year</t>
  </si>
  <si>
    <t>USD/Product</t>
  </si>
  <si>
    <t>Top Products: Nintendo Switch &amp; Gaming Monitor contributing 58% of Total Sales
Low Products: Gaming Razer Pro Gaming Headset contributing to 0.1%</t>
  </si>
  <si>
    <t>USD/Month</t>
  </si>
  <si>
    <t>Increase of sales in ber months (Sep - Dec) Holidays or
Promotions. Top Products increase significantly on ber months</t>
  </si>
  <si>
    <t>Initial EDA</t>
  </si>
  <si>
    <t>Deep Dive Analysis</t>
  </si>
  <si>
    <t>Deep Dive Insight</t>
  </si>
  <si>
    <t>Recommendation</t>
  </si>
  <si>
    <t>Overall USD</t>
  </si>
  <si>
    <t>Product USD</t>
  </si>
  <si>
    <t>Marketing USD</t>
  </si>
  <si>
    <t>Region USD</t>
  </si>
  <si>
    <t>Power BI Tab</t>
  </si>
  <si>
    <t>Excel Tab</t>
  </si>
  <si>
    <t xml:space="preserve"> $6.15M USD total sales across  2019 - 2022 and monthly sales
range of $80K - 500K</t>
  </si>
  <si>
    <t>Check on key Dimension to focus more untapped potential, reasses underperforming products, and cut back channels with minimal ROI and reinvest in high performing market</t>
  </si>
  <si>
    <t>Bundle the Acer Nitro Laptop with accessories (headset, mouse) 
increase perceived value. Increase Promotional Campagins that 
offer discounts or limited deals to boost demand and push low performproducts aggressively where impulse buys are commons</t>
  </si>
  <si>
    <t>Steady increase of sales in Jan - Dec of 2019 and follow by a low decrease
in January 2020 due to COVID, can flag as a Global or macro trend.
Remarkable increase of 204% in sales for 1 year, but after a month 47% decrease due to Holiday Event or Promotional Marketing</t>
  </si>
  <si>
    <r>
      <t xml:space="preserve">Overall the top-performing products and main driver of our sales are </t>
    </r>
    <r>
      <rPr>
        <i/>
        <sz val="11"/>
        <color theme="1"/>
        <rFont val="Aptos Narrow"/>
        <family val="2"/>
        <scheme val="minor"/>
      </rPr>
      <t>Sony PS5 Bundle</t>
    </r>
    <r>
      <rPr>
        <sz val="11"/>
        <color theme="1"/>
        <rFont val="Aptos Narrow"/>
        <family val="2"/>
        <scheme val="minor"/>
      </rPr>
      <t xml:space="preserve">, </t>
    </r>
    <r>
      <rPr>
        <i/>
        <sz val="11"/>
        <color theme="1"/>
        <rFont val="Aptos Narrow"/>
        <family val="2"/>
        <scheme val="minor"/>
      </rPr>
      <t>Nintendo Switch</t>
    </r>
    <r>
      <rPr>
        <sz val="11"/>
        <color theme="1"/>
        <rFont val="Aptos Narrow"/>
        <family val="2"/>
        <scheme val="minor"/>
      </rPr>
      <t xml:space="preserve"> and </t>
    </r>
    <r>
      <rPr>
        <i/>
        <sz val="11"/>
        <color theme="1"/>
        <rFont val="Aptos Narrow"/>
        <family val="2"/>
        <scheme val="minor"/>
      </rPr>
      <t>Lenovo Idepad</t>
    </r>
    <r>
      <rPr>
        <sz val="11"/>
        <color theme="1"/>
        <rFont val="Aptos Narrow"/>
        <family val="2"/>
        <scheme val="minor"/>
      </rPr>
      <t xml:space="preserve">. 
In Dec 2020 it contributes to 95% of overall sales.In contrast, the low- performing products are </t>
    </r>
    <r>
      <rPr>
        <i/>
        <sz val="11"/>
        <color theme="1"/>
        <rFont val="Aptos Narrow"/>
        <family val="2"/>
        <scheme val="minor"/>
      </rPr>
      <t>Acer Nitro</t>
    </r>
    <r>
      <rPr>
        <sz val="11"/>
        <color theme="1"/>
        <rFont val="Aptos Narrow"/>
        <family val="2"/>
        <scheme val="minor"/>
      </rPr>
      <t xml:space="preserve">, </t>
    </r>
    <r>
      <rPr>
        <i/>
        <sz val="11"/>
        <color theme="1"/>
        <rFont val="Aptos Narrow"/>
        <family val="2"/>
        <scheme val="minor"/>
      </rPr>
      <t>Dell Gaming Mouse</t>
    </r>
    <r>
      <rPr>
        <sz val="11"/>
        <color theme="1"/>
        <rFont val="Aptos Narrow"/>
        <family val="2"/>
        <scheme val="minor"/>
      </rPr>
      <t xml:space="preserve">, and JBL Quantum 100 Gaming </t>
    </r>
    <r>
      <rPr>
        <i/>
        <sz val="11"/>
        <color theme="1"/>
        <rFont val="Aptos Narrow"/>
        <family val="2"/>
        <scheme val="minor"/>
      </rPr>
      <t xml:space="preserve">Headset </t>
    </r>
    <r>
      <rPr>
        <sz val="11"/>
        <color theme="1"/>
        <rFont val="Aptos Narrow"/>
        <family val="2"/>
        <scheme val="minor"/>
      </rPr>
      <t xml:space="preserve">contributes for only 5%.
</t>
    </r>
    <r>
      <rPr>
        <i/>
        <sz val="11"/>
        <color theme="1"/>
        <rFont val="Aptos Narrow"/>
        <family val="2"/>
        <scheme val="minor"/>
      </rPr>
      <t xml:space="preserve">JBL Headset </t>
    </r>
    <r>
      <rPr>
        <sz val="11"/>
        <color theme="1"/>
        <rFont val="Aptos Narrow"/>
        <family val="2"/>
        <scheme val="minor"/>
      </rPr>
      <t xml:space="preserve">records to a low AOV compared to top-performing products; however, it produces a high sales volume and indicates a strong demand.
</t>
    </r>
  </si>
  <si>
    <t>Focus more on Email &amp; Affiliate marketing because it shows a steady increase of performance and cut off budget in Social Media marketing since its performance is stable for overall trend.</t>
  </si>
  <si>
    <t>Product Marketing</t>
  </si>
  <si>
    <r>
      <t xml:space="preserve">The top products have a great performance on the </t>
    </r>
    <r>
      <rPr>
        <i/>
        <sz val="11"/>
        <color theme="1"/>
        <rFont val="Aptos Narrow"/>
        <family val="2"/>
        <scheme val="minor"/>
      </rPr>
      <t xml:space="preserve">Direct </t>
    </r>
    <r>
      <rPr>
        <sz val="11"/>
        <color theme="1"/>
        <rFont val="Aptos Narrow"/>
        <family val="2"/>
        <scheme val="minor"/>
      </rPr>
      <t xml:space="preserve">Marketing Channel.
Noticeably </t>
    </r>
    <r>
      <rPr>
        <i/>
        <sz val="11"/>
        <color theme="1"/>
        <rFont val="Aptos Narrow"/>
        <family val="2"/>
        <scheme val="minor"/>
      </rPr>
      <t xml:space="preserve">JBL Headset  </t>
    </r>
    <r>
      <rPr>
        <sz val="11"/>
        <color theme="1"/>
        <rFont val="Aptos Narrow"/>
        <family val="2"/>
        <scheme val="minor"/>
      </rPr>
      <t xml:space="preserve">and  </t>
    </r>
    <r>
      <rPr>
        <i/>
        <sz val="11"/>
        <color theme="1"/>
        <rFont val="Aptos Narrow"/>
        <family val="2"/>
        <scheme val="minor"/>
      </rPr>
      <t>27in 4k Gaming Monitor</t>
    </r>
    <r>
      <rPr>
        <sz val="11"/>
        <color theme="1"/>
        <rFont val="Aptos Narrow"/>
        <family val="2"/>
        <scheme val="minor"/>
      </rPr>
      <t xml:space="preserve"> have an increase on </t>
    </r>
    <r>
      <rPr>
        <i/>
        <sz val="11"/>
        <color theme="1"/>
        <rFont val="Aptos Narrow"/>
        <family val="2"/>
        <scheme val="minor"/>
      </rPr>
      <t xml:space="preserve">Email Marketing </t>
    </r>
    <r>
      <rPr>
        <sz val="11"/>
        <color theme="1"/>
        <rFont val="Aptos Narrow"/>
        <family val="2"/>
        <scheme val="minor"/>
      </rPr>
      <t xml:space="preserve">compare to others while </t>
    </r>
    <r>
      <rPr>
        <i/>
        <sz val="11"/>
        <color theme="1"/>
        <rFont val="Aptos Narrow"/>
        <family val="2"/>
        <scheme val="minor"/>
      </rPr>
      <t xml:space="preserve">Social Media </t>
    </r>
    <r>
      <rPr>
        <sz val="11"/>
        <color theme="1"/>
        <rFont val="Aptos Narrow"/>
        <family val="2"/>
        <scheme val="minor"/>
      </rPr>
      <t xml:space="preserve">and </t>
    </r>
    <r>
      <rPr>
        <i/>
        <sz val="11"/>
        <color theme="1"/>
        <rFont val="Aptos Narrow"/>
        <family val="2"/>
        <scheme val="minor"/>
      </rPr>
      <t>Affiliate</t>
    </r>
    <r>
      <rPr>
        <sz val="11"/>
        <color theme="1"/>
        <rFont val="Aptos Narrow"/>
        <family val="2"/>
        <scheme val="minor"/>
      </rPr>
      <t xml:space="preserve"> performance remain still.</t>
    </r>
  </si>
  <si>
    <t>Direct remains the dominant channel, but Email Marketing has proven its ability to lift specific products like JBL Headset and Gaming Monitor. Recommendation 1.Scale email strategies, 2. Sustain Direct’s efficiency, 3. Revitalizing Social Media, and 4.Affiliate with targeted campaigns. The business can diversify growth and reduce dependency on a single channel.”</t>
  </si>
  <si>
    <t>Product Region</t>
  </si>
  <si>
    <t>EMEA &amp; NA drive the sales across all products while the APAC &amp;
especially LATAM requires works and underutilized. Provide bundle strategies, Target Promotional Localization to reduce dependency to the two region.</t>
  </si>
  <si>
    <r>
      <t xml:space="preserve">Product Region Analysis
1. Sony PS5 Bundle
  EMEA - 44%, NA - 44%, APAC - 07%, LATAM - 04%
2. Lenovo Ideapad Laptop
  EMEA - 21%, NA - 47%, APAC - 22%, LATAM- 08%
3. 27in 4K Gaming Monitor
  EMEA - 21%, NA - 47%, APAC - 22%, LATAM - 04%
4. JBL Headset
  EMEA - 30%, NA - 49%, APAC - 15%, LATAM - 04%
</t>
    </r>
    <r>
      <rPr>
        <i/>
        <sz val="11"/>
        <color theme="1"/>
        <rFont val="Aptos Narrow"/>
        <family val="2"/>
        <scheme val="minor"/>
      </rPr>
      <t xml:space="preserve">Sony PS5 Bundle </t>
    </r>
    <r>
      <rPr>
        <sz val="11"/>
        <color theme="1"/>
        <rFont val="Aptos Narrow"/>
        <family val="2"/>
        <scheme val="minor"/>
      </rPr>
      <t xml:space="preserve">shows high demand in EMEA and NA region while in APAC &amp; LATAM it produce &lt;10% of the performance, the two region have a potential to expand throguh promotions, and promotions.
</t>
    </r>
    <r>
      <rPr>
        <i/>
        <sz val="11"/>
        <color theme="1"/>
        <rFont val="Aptos Narrow"/>
        <family val="2"/>
        <scheme val="minor"/>
      </rPr>
      <t xml:space="preserve">Lenovo Ideapad Laptop </t>
    </r>
    <r>
      <rPr>
        <sz val="11"/>
        <color theme="1"/>
        <rFont val="Aptos Narrow"/>
        <family val="2"/>
        <scheme val="minor"/>
      </rPr>
      <t xml:space="preserve">has a great demand on the three region (EMEA, NA, APAC). The laptop has great demand in NA showcasing the love for the product.
</t>
    </r>
    <r>
      <rPr>
        <i/>
        <sz val="11"/>
        <color theme="1"/>
        <rFont val="Aptos Narrow"/>
        <family val="2"/>
        <scheme val="minor"/>
      </rPr>
      <t xml:space="preserve">27in 4K Gaming Monitor </t>
    </r>
    <r>
      <rPr>
        <sz val="11"/>
        <color theme="1"/>
        <rFont val="Aptos Narrow"/>
        <family val="2"/>
        <scheme val="minor"/>
      </rPr>
      <t xml:space="preserve">has a common performance to the Ideapad Laptop. Great idea to bundle it with the Ideapad Laptop to improve sales demand.
</t>
    </r>
    <r>
      <rPr>
        <i/>
        <sz val="11"/>
        <color theme="1"/>
        <rFont val="Aptos Narrow"/>
        <family val="2"/>
        <scheme val="minor"/>
      </rPr>
      <t>Sony PS5 Bundle</t>
    </r>
    <r>
      <rPr>
        <sz val="11"/>
        <color theme="1"/>
        <rFont val="Aptos Narrow"/>
        <family val="2"/>
        <scheme val="minor"/>
      </rPr>
      <t xml:space="preserve"> &amp; </t>
    </r>
    <r>
      <rPr>
        <i/>
        <sz val="11"/>
        <color theme="1"/>
        <rFont val="Aptos Narrow"/>
        <family val="2"/>
        <scheme val="minor"/>
      </rPr>
      <t>Lenovo Ideapad</t>
    </r>
    <r>
      <rPr>
        <sz val="11"/>
        <color theme="1"/>
        <rFont val="Aptos Narrow"/>
        <family val="2"/>
        <scheme val="minor"/>
      </rPr>
      <t xml:space="preserve"> increase sales by 20% in Jan - Feb 2021. Look for any promotions or marketing happen to investigate the increase while the other top products remain constant.</t>
    </r>
  </si>
  <si>
    <r>
      <rPr>
        <i/>
        <sz val="11"/>
        <color theme="1"/>
        <rFont val="Aptos Narrow"/>
        <family val="2"/>
        <scheme val="minor"/>
      </rPr>
      <t xml:space="preserve">NA (~45%), EMEA (~35%), &amp; APAC (~12%) </t>
    </r>
    <r>
      <rPr>
        <sz val="11"/>
        <color theme="1"/>
        <rFont val="Aptos Narrow"/>
        <family val="2"/>
        <scheme val="minor"/>
      </rPr>
      <t xml:space="preserve">Region are the top regions that provide huge contribution on overall sales. 
The three region produce 90-95% of the sales while the region </t>
    </r>
    <r>
      <rPr>
        <i/>
        <sz val="11"/>
        <color theme="1"/>
        <rFont val="Aptos Narrow"/>
        <family val="2"/>
        <scheme val="minor"/>
      </rPr>
      <t xml:space="preserve">LATAM </t>
    </r>
    <r>
      <rPr>
        <sz val="11"/>
        <color theme="1"/>
        <rFont val="Aptos Narrow"/>
        <family val="2"/>
        <scheme val="minor"/>
      </rPr>
      <t>contributes the small part of the sales.</t>
    </r>
  </si>
  <si>
    <r>
      <rPr>
        <i/>
        <sz val="11"/>
        <color theme="1"/>
        <rFont val="Aptos Narrow"/>
        <family val="2"/>
        <scheme val="minor"/>
      </rPr>
      <t xml:space="preserve">LATAM </t>
    </r>
    <r>
      <rPr>
        <sz val="11"/>
        <color theme="1"/>
        <rFont val="Aptos Narrow"/>
        <family val="2"/>
        <scheme val="minor"/>
      </rPr>
      <t xml:space="preserve">region is underutilized and should be look further.
 We can increase sales on the region by localizing strategies, build loyalty programs, and strengthen partnership with locals to boost the </t>
    </r>
    <r>
      <rPr>
        <i/>
        <sz val="11"/>
        <color theme="1"/>
        <rFont val="Aptos Narrow"/>
        <family val="2"/>
        <scheme val="minor"/>
      </rPr>
      <t xml:space="preserve">Direct </t>
    </r>
    <r>
      <rPr>
        <sz val="11"/>
        <color theme="1"/>
        <rFont val="Aptos Narrow"/>
        <family val="2"/>
        <scheme val="minor"/>
      </rPr>
      <t>marketing  channel.</t>
    </r>
  </si>
  <si>
    <r>
      <rPr>
        <i/>
        <sz val="11"/>
        <color theme="1"/>
        <rFont val="Aptos Narrow"/>
        <family val="2"/>
        <scheme val="minor"/>
      </rPr>
      <t xml:space="preserve">Direct </t>
    </r>
    <r>
      <rPr>
        <sz val="11"/>
        <color theme="1"/>
        <rFont val="Aptos Narrow"/>
        <family val="2"/>
        <scheme val="minor"/>
      </rPr>
      <t>has been consistently the main driver of marketing channel sales, contributing to 80-85% of overall share across the years. Starting January 2020, Email and Affiliate Marketing (&lt;15%) showed notable spikes highlighting their potential growth drivers while Social Media remain &lt;1%.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</si>
</sst>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5"/>
      <color theme="1"/>
      <name val="Aptos Narrow"/>
      <family val="2"/>
      <scheme val="minor"/>
    </font>
    <font>
      <sz val="12"/>
      <color theme="1"/>
      <name val="Aptos Narrow"/>
      <family val="2"/>
      <scheme val="minor"/>
    </font>
    <font>
      <b/>
      <sz val="15"/>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0" fontId="3" fillId="0" borderId="0" xfId="0" applyFont="1"/>
    <xf numFmtId="10" fontId="0" fillId="0" borderId="0" xfId="0" applyNumberFormat="1"/>
    <xf numFmtId="10" fontId="0" fillId="0" borderId="0" xfId="1" applyNumberFormat="1" applyFont="1"/>
    <xf numFmtId="0" fontId="0" fillId="0" borderId="0" xfId="0" applyAlignment="1">
      <alignment wrapText="1"/>
    </xf>
    <xf numFmtId="0" fontId="5" fillId="0" borderId="0" xfId="0" applyFont="1"/>
    <xf numFmtId="0" fontId="4" fillId="2" borderId="0" xfId="0" applyFont="1" applyFill="1"/>
    <xf numFmtId="0" fontId="5" fillId="0" borderId="0" xfId="0" applyFont="1" applyAlignment="1">
      <alignment wrapText="1"/>
    </xf>
    <xf numFmtId="0" fontId="0" fillId="0" borderId="0" xfId="0" applyAlignment="1">
      <alignment horizontal="center" wrapText="1"/>
    </xf>
    <xf numFmtId="0" fontId="0" fillId="0" borderId="0" xfId="0"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2C8A0-098D-46CA-A93C-7E81CBC3157C}" name="Table1" displayName="Table1" ref="A3:G10" totalsRowShown="0">
  <autoFilter ref="A3:G10" xr:uid="{B4B2C8A0-098D-46CA-A93C-7E81CBC3157C}"/>
  <tableColumns count="7">
    <tableColumn id="1" xr3:uid="{21E19BCB-717E-4033-AA98-6FF81B66F133}" name="Table"/>
    <tableColumn id="2" xr3:uid="{1F389E71-BC1C-40EB-B34E-D3C5FA124031}" name="Column"/>
    <tableColumn id="3" xr3:uid="{3832582E-53E5-4C5B-A59F-679EB5DC2223}" name="Issue"/>
    <tableColumn id="4" xr3:uid="{EB64EC28-E5BA-483F-9C8C-222402C77520}" name="Count"/>
    <tableColumn id="5" xr3:uid="{ACD36397-89B9-46C0-AF3A-698C6F4EEBA4}" name="Solvable"/>
    <tableColumn id="6" xr3:uid="{6F3434CC-06CD-4206-BF41-10E9919905D2}" name="Fix / Recommendation"/>
    <tableColumn id="7" xr3:uid="{4067CA47-3E1A-49CD-81B8-CC4B06A67F25}" name="Magni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39484-0989-4840-BBB7-09B4BD839308}">
  <dimension ref="A1:I12"/>
  <sheetViews>
    <sheetView zoomScaleNormal="100" workbookViewId="0">
      <selection activeCell="F11" sqref="F11"/>
    </sheetView>
  </sheetViews>
  <sheetFormatPr defaultRowHeight="15" x14ac:dyDescent="0.25"/>
  <cols>
    <col min="1" max="1" width="61.7109375" bestFit="1" customWidth="1"/>
    <col min="2" max="2" width="40" bestFit="1" customWidth="1"/>
    <col min="3" max="3" width="26.7109375" bestFit="1" customWidth="1"/>
    <col min="5" max="5" width="9.28515625" customWidth="1"/>
    <col min="6" max="6" width="37.7109375" bestFit="1" customWidth="1"/>
    <col min="7" max="7" width="12.28515625" bestFit="1" customWidth="1"/>
    <col min="8" max="8" width="24.28515625" bestFit="1" customWidth="1"/>
  </cols>
  <sheetData>
    <row r="1" spans="1:9" ht="19.5" x14ac:dyDescent="0.3">
      <c r="A1" s="1" t="s">
        <v>0</v>
      </c>
    </row>
    <row r="2" spans="1:9" ht="15.75" x14ac:dyDescent="0.25">
      <c r="A2" s="2" t="s">
        <v>1</v>
      </c>
      <c r="H2" t="s">
        <v>8</v>
      </c>
    </row>
    <row r="3" spans="1:9" x14ac:dyDescent="0.25">
      <c r="A3" t="s">
        <v>2</v>
      </c>
      <c r="B3" t="s">
        <v>3</v>
      </c>
      <c r="C3" t="s">
        <v>4</v>
      </c>
      <c r="D3" t="s">
        <v>5</v>
      </c>
      <c r="E3" t="s">
        <v>6</v>
      </c>
      <c r="F3" t="s">
        <v>7</v>
      </c>
      <c r="G3" t="s">
        <v>20</v>
      </c>
      <c r="H3" t="s">
        <v>9</v>
      </c>
      <c r="I3">
        <v>21864</v>
      </c>
    </row>
    <row r="4" spans="1:9" x14ac:dyDescent="0.25">
      <c r="A4" t="s">
        <v>10</v>
      </c>
      <c r="B4" t="s">
        <v>11</v>
      </c>
      <c r="C4" t="s">
        <v>12</v>
      </c>
      <c r="D4">
        <v>11</v>
      </c>
      <c r="E4" t="s">
        <v>13</v>
      </c>
      <c r="F4" t="s">
        <v>14</v>
      </c>
      <c r="G4" s="4">
        <f>(D4/I3)</f>
        <v>5.0311013538236371E-4</v>
      </c>
    </row>
    <row r="5" spans="1:9" x14ac:dyDescent="0.25">
      <c r="A5" t="s">
        <v>10</v>
      </c>
      <c r="B5" t="s">
        <v>15</v>
      </c>
      <c r="C5" t="e">
        <v>#VALUE!</v>
      </c>
      <c r="D5">
        <v>1</v>
      </c>
      <c r="E5" t="s">
        <v>16</v>
      </c>
      <c r="G5" s="4">
        <f>(D5/I3)</f>
        <v>4.5737285034760334E-5</v>
      </c>
    </row>
    <row r="6" spans="1:9" x14ac:dyDescent="0.25">
      <c r="A6" t="s">
        <v>10</v>
      </c>
      <c r="B6" t="s">
        <v>17</v>
      </c>
      <c r="C6" t="s">
        <v>18</v>
      </c>
      <c r="D6">
        <v>61</v>
      </c>
      <c r="E6" t="s">
        <v>13</v>
      </c>
      <c r="F6" t="s">
        <v>19</v>
      </c>
      <c r="G6" s="4">
        <f>(D6/$I$3)</f>
        <v>2.7899743871203806E-3</v>
      </c>
    </row>
    <row r="7" spans="1:9" x14ac:dyDescent="0.25">
      <c r="A7" t="s">
        <v>10</v>
      </c>
      <c r="B7" t="s">
        <v>21</v>
      </c>
      <c r="C7">
        <v>0</v>
      </c>
      <c r="D7">
        <v>29</v>
      </c>
      <c r="E7" t="s">
        <v>16</v>
      </c>
      <c r="G7" s="4">
        <f>(D7/$I$3)</f>
        <v>1.3263812660080497E-3</v>
      </c>
    </row>
    <row r="8" spans="1:9" x14ac:dyDescent="0.25">
      <c r="A8" t="s">
        <v>10</v>
      </c>
      <c r="B8" t="s">
        <v>23</v>
      </c>
      <c r="C8" t="s">
        <v>22</v>
      </c>
      <c r="D8">
        <v>47</v>
      </c>
      <c r="E8" t="s">
        <v>13</v>
      </c>
      <c r="F8" t="s">
        <v>24</v>
      </c>
      <c r="G8" s="4">
        <f>(D8/$I$3)</f>
        <v>2.149652396633736E-3</v>
      </c>
    </row>
    <row r="9" spans="1:9" x14ac:dyDescent="0.25">
      <c r="A9" t="s">
        <v>10</v>
      </c>
      <c r="B9" t="s">
        <v>25</v>
      </c>
      <c r="C9" t="s">
        <v>22</v>
      </c>
      <c r="D9">
        <v>37</v>
      </c>
      <c r="E9" t="s">
        <v>16</v>
      </c>
      <c r="G9" s="4">
        <f>(D9/$I$3)</f>
        <v>1.6922795462861325E-3</v>
      </c>
    </row>
    <row r="10" spans="1:9" x14ac:dyDescent="0.25">
      <c r="A10" t="s">
        <v>26</v>
      </c>
      <c r="B10" t="s">
        <v>27</v>
      </c>
      <c r="C10" t="s">
        <v>28</v>
      </c>
      <c r="D10">
        <v>4</v>
      </c>
      <c r="F10" t="s">
        <v>29</v>
      </c>
    </row>
    <row r="12" spans="1:9" x14ac:dyDescent="0.25">
      <c r="D12"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0BFD-C059-4198-952B-3E32549017E1}">
  <dimension ref="A1:C20"/>
  <sheetViews>
    <sheetView tabSelected="1" zoomScaleNormal="100" workbookViewId="0">
      <selection activeCell="B5" sqref="B5"/>
    </sheetView>
  </sheetViews>
  <sheetFormatPr defaultRowHeight="15" x14ac:dyDescent="0.25"/>
  <cols>
    <col min="1" max="1" width="34.85546875" customWidth="1"/>
    <col min="2" max="2" width="66.42578125" bestFit="1" customWidth="1"/>
    <col min="3" max="3" width="56.7109375" customWidth="1"/>
  </cols>
  <sheetData>
    <row r="1" spans="1:3" ht="19.5" x14ac:dyDescent="0.3">
      <c r="A1" s="7" t="s">
        <v>30</v>
      </c>
    </row>
    <row r="2" spans="1:3" ht="42.6" customHeight="1" x14ac:dyDescent="0.25">
      <c r="A2" s="5" t="s">
        <v>36</v>
      </c>
    </row>
    <row r="3" spans="1:3" x14ac:dyDescent="0.25">
      <c r="A3" s="5" t="s">
        <v>31</v>
      </c>
      <c r="B3" t="s">
        <v>39</v>
      </c>
    </row>
    <row r="4" spans="1:3" x14ac:dyDescent="0.25">
      <c r="A4" t="s">
        <v>32</v>
      </c>
      <c r="B4" t="s">
        <v>33</v>
      </c>
    </row>
    <row r="5" spans="1:3" x14ac:dyDescent="0.25">
      <c r="A5" t="s">
        <v>34</v>
      </c>
      <c r="B5" t="s">
        <v>35</v>
      </c>
    </row>
    <row r="6" spans="1:3" x14ac:dyDescent="0.25">
      <c r="A6" t="s">
        <v>37</v>
      </c>
      <c r="B6" t="s">
        <v>38</v>
      </c>
    </row>
    <row r="7" spans="1:3" ht="19.5" x14ac:dyDescent="0.3">
      <c r="A7" s="7" t="s">
        <v>48</v>
      </c>
    </row>
    <row r="8" spans="1:3" x14ac:dyDescent="0.25">
      <c r="A8" s="6" t="s">
        <v>57</v>
      </c>
      <c r="B8" s="6" t="s">
        <v>41</v>
      </c>
      <c r="C8" s="6" t="s">
        <v>40</v>
      </c>
    </row>
    <row r="9" spans="1:3" ht="30" x14ac:dyDescent="0.25">
      <c r="A9" t="s">
        <v>42</v>
      </c>
      <c r="B9" t="s">
        <v>43</v>
      </c>
      <c r="C9" s="5" t="s">
        <v>58</v>
      </c>
    </row>
    <row r="10" spans="1:3" ht="60" x14ac:dyDescent="0.25">
      <c r="A10" t="s">
        <v>42</v>
      </c>
      <c r="B10" t="s">
        <v>44</v>
      </c>
      <c r="C10" s="5" t="s">
        <v>45</v>
      </c>
    </row>
    <row r="11" spans="1:3" ht="45" x14ac:dyDescent="0.25">
      <c r="A11" t="s">
        <v>42</v>
      </c>
      <c r="B11" t="s">
        <v>46</v>
      </c>
      <c r="C11" s="5" t="s">
        <v>47</v>
      </c>
    </row>
    <row r="13" spans="1:3" ht="19.5" x14ac:dyDescent="0.3">
      <c r="A13" s="7" t="s">
        <v>49</v>
      </c>
    </row>
    <row r="14" spans="1:3" x14ac:dyDescent="0.25">
      <c r="A14" s="6" t="s">
        <v>56</v>
      </c>
      <c r="B14" s="6" t="s">
        <v>50</v>
      </c>
      <c r="C14" s="8" t="s">
        <v>51</v>
      </c>
    </row>
    <row r="15" spans="1:3" ht="75" x14ac:dyDescent="0.25">
      <c r="A15" t="s">
        <v>52</v>
      </c>
      <c r="B15" s="10" t="s">
        <v>61</v>
      </c>
      <c r="C15" s="10" t="s">
        <v>59</v>
      </c>
    </row>
    <row r="16" spans="1:3" ht="105" customHeight="1" x14ac:dyDescent="0.25">
      <c r="A16" t="s">
        <v>53</v>
      </c>
      <c r="B16" s="10" t="s">
        <v>62</v>
      </c>
      <c r="C16" s="10" t="s">
        <v>60</v>
      </c>
    </row>
    <row r="17" spans="1:3" ht="75" x14ac:dyDescent="0.25">
      <c r="A17" t="s">
        <v>54</v>
      </c>
      <c r="B17" s="9" t="s">
        <v>72</v>
      </c>
      <c r="C17" s="9" t="s">
        <v>63</v>
      </c>
    </row>
    <row r="18" spans="1:3" ht="60" x14ac:dyDescent="0.25">
      <c r="A18" t="s">
        <v>55</v>
      </c>
      <c r="B18" s="9" t="s">
        <v>70</v>
      </c>
      <c r="C18" s="9" t="s">
        <v>71</v>
      </c>
    </row>
    <row r="19" spans="1:3" ht="105" x14ac:dyDescent="0.25">
      <c r="A19" t="s">
        <v>64</v>
      </c>
      <c r="B19" s="10" t="s">
        <v>65</v>
      </c>
      <c r="C19" s="10" t="s">
        <v>66</v>
      </c>
    </row>
    <row r="20" spans="1:3" ht="375" x14ac:dyDescent="0.25">
      <c r="A20" t="s">
        <v>67</v>
      </c>
      <c r="B20" s="10" t="s">
        <v>69</v>
      </c>
      <c r="C20" s="10"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issues_logs</vt:lpstr>
      <vt:lpstr>insights_logs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Erson Macatangay</dc:creator>
  <cp:lastModifiedBy>Erson Macatangay</cp:lastModifiedBy>
  <dcterms:created xsi:type="dcterms:W3CDTF">2026-08-11T10:39:22Z</dcterms:created>
  <dcterms:modified xsi:type="dcterms:W3CDTF">2026-08-18T09:42:59Z</dcterms:modified>
</cp:coreProperties>
</file>